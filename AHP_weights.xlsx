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HP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<sst xmlns="http://schemas.openxmlformats.org/spreadsheetml/2006/main" count="43" uniqueCount="35">
  <si>
    <t xml:space="preserve">AHP Weighting - Flood Susceptibility Index</t>
  </si>
  <si>
    <t xml:space="preserve">Attah Gbubemi David | Thesis Section 3.6.3, Equations 3.10 to 3.12 | Saaty (1980)</t>
  </si>
  <si>
    <t xml:space="preserve">BLUE cells are the pairwise judgements from Table 3.4 - the only inputs. Every other cell is a formula and recalculates on its own.</t>
  </si>
  <si>
    <t xml:space="preserve">Factor</t>
  </si>
  <si>
    <t xml:space="preserve">Elevation</t>
  </si>
  <si>
    <t xml:space="preserve">TWI</t>
  </si>
  <si>
    <t xml:space="preserve">DistRiv</t>
  </si>
  <si>
    <t xml:space="preserve">FlowAcc</t>
  </si>
  <si>
    <t xml:space="preserve">Runoff</t>
  </si>
  <si>
    <t xml:space="preserve">Slope</t>
  </si>
  <si>
    <t xml:space="preserve">Rain</t>
  </si>
  <si>
    <t xml:space="preserve">LULC</t>
  </si>
  <si>
    <t xml:space="preserve">GeoMean</t>
  </si>
  <si>
    <t xml:space="preserve">Weight</t>
  </si>
  <si>
    <t xml:space="preserve">A.w</t>
  </si>
  <si>
    <t xml:space="preserve">Ratio</t>
  </si>
  <si>
    <t xml:space="preserve">Applied</t>
  </si>
  <si>
    <t xml:space="preserve">Difference</t>
  </si>
  <si>
    <t xml:space="preserve">TOTAL</t>
  </si>
  <si>
    <t xml:space="preserve">max difference vs applied</t>
  </si>
  <si>
    <t xml:space="preserve">CONSISTENCY CHECK  (Equations 3.11 and 3.12)</t>
  </si>
  <si>
    <t xml:space="preserve">lambda max  =  average of the Ratio column</t>
  </si>
  <si>
    <t xml:space="preserve">n  (number of factors)</t>
  </si>
  <si>
    <t xml:space="preserve">CI  =  (lambda max - n) / (n - 1)</t>
  </si>
  <si>
    <t xml:space="preserve">RI  (Saaty Random Index for n = 8)</t>
  </si>
  <si>
    <t xml:space="preserve">CR  =  CI / RI</t>
  </si>
  <si>
    <t xml:space="preserve">Acceptance threshold</t>
  </si>
  <si>
    <t xml:space="preserve">VERDICT</t>
  </si>
  <si>
    <t xml:space="preserve">How to read this</t>
  </si>
  <si>
    <t xml:space="preserve">GeoMean (Equation 3.10): the geometric mean of each row - how important that factor was across all eight comparisons.</t>
  </si>
  <si>
    <t xml:space="preserve">Weight: each GeoMean divided by their total, so the eight weights sum to 1.0000.</t>
  </si>
  <si>
    <t xml:space="preserve">A.w and Ratio: intermediate steps used to obtain lambda max, the principal eigenvalue of the matrix.</t>
  </si>
  <si>
    <t xml:space="preserve">lambda max equals n exactly for a perfectly consistent matrix. Yours is 8.1139, so the gap is 0.1139.</t>
  </si>
  <si>
    <t xml:space="preserve">CR expresses that gap relative to a randomly filled matrix. CR = 0.0115 means about 1% as inconsistent as random guessing.</t>
  </si>
  <si>
    <t xml:space="preserve">Applied: the rounded weights used in the model. The maximum difference is 0.0119, immaterial to a five-class classification.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</si>
</sst>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 ?/?"/>
    <numFmt numFmtId="166" formatCode="0.0000"/>
    <numFmt numFmtId="167" formatCode="0.00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4A"/>
        <bgColor rgb="FF003366"/>
      </patternFill>
    </fill>
    <fill>
      <patternFill patternType="solid">
        <fgColor rgb="FFEAF1F8"/>
        <bgColor rgb="FFFFFFFF"/>
      </patternFill>
    </fill>
    <fill>
      <patternFill patternType="solid">
        <fgColor rgb="FFFFF2CC"/>
        <bgColor rgb="FFEAF1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AF1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2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C23" activeCellId="0" sqref="C2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6"/>
    <col collapsed="false" customWidth="true" hidden="false" outlineLevel="0" max="9" min="2" style="1" width="9"/>
    <col collapsed="false" customWidth="true" hidden="false" outlineLevel="0" max="15" min="10" style="1" width="11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</row>
    <row r="6" customFormat="false" ht="15" hidden="false" customHeight="false" outlineLevel="0" collapsed="false">
      <c r="A6" s="6" t="s">
        <v>4</v>
      </c>
      <c r="B6" s="7" t="n">
        <v>1</v>
      </c>
      <c r="C6" s="7" t="n">
        <v>1</v>
      </c>
      <c r="D6" s="7" t="n">
        <v>1</v>
      </c>
      <c r="E6" s="7" t="n">
        <v>2</v>
      </c>
      <c r="F6" s="7" t="n">
        <v>2</v>
      </c>
      <c r="G6" s="7" t="n">
        <v>2</v>
      </c>
      <c r="H6" s="7" t="n">
        <v>3</v>
      </c>
      <c r="I6" s="7" t="n">
        <v>4</v>
      </c>
      <c r="J6" s="8" t="n">
        <f aca="false">GEOMEAN(B6:I6)</f>
        <v>1.76922840813349</v>
      </c>
      <c r="K6" s="8" t="n">
        <f aca="false">J6/$J$14</f>
        <v>0.201870307109291</v>
      </c>
      <c r="L6" s="8" t="n">
        <f aca="false">B6*$K$6+C6*$K$7+D6*$K$8+E6*$K$9+F6*$K$10+G6*$K$11+H6*$K$12+I6*$K$13</f>
        <v>1.62672668030495</v>
      </c>
      <c r="M6" s="8" t="n">
        <f aca="false">L6/K6</f>
        <v>8.05827614570502</v>
      </c>
      <c r="N6" s="9" t="n">
        <v>0.2</v>
      </c>
      <c r="O6" s="8" t="n">
        <f aca="false">ABS(K6-N6)</f>
        <v>0.00187030710929104</v>
      </c>
    </row>
    <row r="7" customFormat="false" ht="15" hidden="false" customHeight="false" outlineLevel="0" collapsed="false">
      <c r="A7" s="6" t="s">
        <v>5</v>
      </c>
      <c r="B7" s="7" t="n">
        <v>1</v>
      </c>
      <c r="C7" s="7" t="n">
        <v>1</v>
      </c>
      <c r="D7" s="7" t="n">
        <v>1</v>
      </c>
      <c r="E7" s="7" t="n">
        <v>2</v>
      </c>
      <c r="F7" s="7" t="n">
        <v>2</v>
      </c>
      <c r="G7" s="7" t="n">
        <v>2</v>
      </c>
      <c r="H7" s="7" t="n">
        <v>2</v>
      </c>
      <c r="I7" s="7" t="n">
        <v>4</v>
      </c>
      <c r="J7" s="8" t="n">
        <f aca="false">GEOMEAN(B7:I7)</f>
        <v>1.68179283050743</v>
      </c>
      <c r="K7" s="8" t="n">
        <f aca="false">J7/$J$14</f>
        <v>0.191893841195389</v>
      </c>
      <c r="L7" s="8" t="n">
        <f aca="false">B7*$K$6+C7*$K$7+D7*$K$8+E7*$K$9+F7*$K$10+G7*$K$11+H7*$K$12+I7*$K$13</f>
        <v>1.5500325486974</v>
      </c>
      <c r="M7" s="8" t="n">
        <f aca="false">L7/K7</f>
        <v>8.07755235416409</v>
      </c>
      <c r="N7" s="9" t="n">
        <v>0.18</v>
      </c>
      <c r="O7" s="8" t="n">
        <f aca="false">ABS(K7-N7)</f>
        <v>0.011893841195389</v>
      </c>
    </row>
    <row r="8" customFormat="false" ht="15" hidden="false" customHeight="false" outlineLevel="0" collapsed="false">
      <c r="A8" s="6" t="s">
        <v>6</v>
      </c>
      <c r="B8" s="7" t="n">
        <v>1</v>
      </c>
      <c r="C8" s="7" t="n">
        <v>1</v>
      </c>
      <c r="D8" s="7" t="n">
        <v>1</v>
      </c>
      <c r="E8" s="7" t="n">
        <v>1</v>
      </c>
      <c r="F8" s="7" t="n">
        <v>1</v>
      </c>
      <c r="G8" s="7" t="n">
        <v>2</v>
      </c>
      <c r="H8" s="7" t="n">
        <v>2</v>
      </c>
      <c r="I8" s="7" t="n">
        <v>3</v>
      </c>
      <c r="J8" s="8" t="n">
        <f aca="false">GEOMEAN(B8:I8)</f>
        <v>1.36426160182137</v>
      </c>
      <c r="K8" s="8" t="n">
        <f aca="false">J8/$J$14</f>
        <v>0.155663286476188</v>
      </c>
      <c r="L8" s="8" t="n">
        <f aca="false">B8*$K$6+C8*$K$7+D8*$K$8+E8*$K$9+F8*$K$10+G8*$K$11+H8*$K$12+I8*$K$13</f>
        <v>1.27210103568351</v>
      </c>
      <c r="M8" s="8" t="n">
        <f aca="false">L8/K8</f>
        <v>8.17213271337494</v>
      </c>
      <c r="N8" s="9" t="n">
        <v>0.15</v>
      </c>
      <c r="O8" s="8" t="n">
        <f aca="false">ABS(K8-N8)</f>
        <v>0.00566328647618788</v>
      </c>
    </row>
    <row r="9" customFormat="false" ht="15" hidden="false" customHeight="false" outlineLevel="0" collapsed="false">
      <c r="A9" s="6" t="s">
        <v>7</v>
      </c>
      <c r="B9" s="7" t="n">
        <v>0.5</v>
      </c>
      <c r="C9" s="7" t="n">
        <v>0.5</v>
      </c>
      <c r="D9" s="7" t="n">
        <v>1</v>
      </c>
      <c r="E9" s="7" t="n">
        <v>1</v>
      </c>
      <c r="F9" s="7" t="n">
        <v>1</v>
      </c>
      <c r="G9" s="7" t="n">
        <v>1</v>
      </c>
      <c r="H9" s="7" t="n">
        <v>2</v>
      </c>
      <c r="I9" s="7" t="n">
        <v>2</v>
      </c>
      <c r="J9" s="8" t="n">
        <f aca="false">GEOMEAN(B9:I9)</f>
        <v>1</v>
      </c>
      <c r="K9" s="8" t="n">
        <f aca="false">J9/$J$14</f>
        <v>0.114100760637379</v>
      </c>
      <c r="L9" s="8" t="n">
        <f aca="false">B9*$K$6+C9*$K$7+D9*$K$8+E9*$K$9+F9*$K$10+G9*$K$11+H9*$K$12+I9*$K$13</f>
        <v>0.929542049194339</v>
      </c>
      <c r="M9" s="8" t="n">
        <f aca="false">L9/K9</f>
        <v>8.14667705983567</v>
      </c>
      <c r="N9" s="9" t="n">
        <v>0.12</v>
      </c>
      <c r="O9" s="8" t="n">
        <f aca="false">ABS(K9-N9)</f>
        <v>0.00589923936262064</v>
      </c>
    </row>
    <row r="10" customFormat="false" ht="15" hidden="false" customHeight="false" outlineLevel="0" collapsed="false">
      <c r="A10" s="6" t="s">
        <v>8</v>
      </c>
      <c r="B10" s="7" t="n">
        <v>0.5</v>
      </c>
      <c r="C10" s="7" t="n">
        <v>0.5</v>
      </c>
      <c r="D10" s="7" t="n">
        <v>1</v>
      </c>
      <c r="E10" s="7" t="n">
        <v>1</v>
      </c>
      <c r="F10" s="7" t="n">
        <v>1</v>
      </c>
      <c r="G10" s="7" t="n">
        <v>1</v>
      </c>
      <c r="H10" s="7" t="n">
        <v>2</v>
      </c>
      <c r="I10" s="7" t="n">
        <v>2</v>
      </c>
      <c r="J10" s="8" t="n">
        <f aca="false">GEOMEAN(B10:I10)</f>
        <v>1</v>
      </c>
      <c r="K10" s="8" t="n">
        <f aca="false">J10/$J$14</f>
        <v>0.114100760637379</v>
      </c>
      <c r="L10" s="8" t="n">
        <f aca="false">B10*$K$6+C10*$K$7+D10*$K$8+E10*$K$9+F10*$K$10+G10*$K$11+H10*$K$12+I10*$K$13</f>
        <v>0.929542049194339</v>
      </c>
      <c r="M10" s="8" t="n">
        <f aca="false">L10/K10</f>
        <v>8.14667705983567</v>
      </c>
      <c r="N10" s="9" t="n">
        <v>0.12</v>
      </c>
      <c r="O10" s="8" t="n">
        <f aca="false">ABS(K10-N10)</f>
        <v>0.00589923936262064</v>
      </c>
    </row>
    <row r="11" customFormat="false" ht="15" hidden="false" customHeight="false" outlineLevel="0" collapsed="false">
      <c r="A11" s="6" t="s">
        <v>9</v>
      </c>
      <c r="B11" s="7" t="n">
        <v>0.5</v>
      </c>
      <c r="C11" s="7" t="n">
        <v>0.5</v>
      </c>
      <c r="D11" s="7" t="n">
        <v>0.5</v>
      </c>
      <c r="E11" s="7" t="n">
        <v>1</v>
      </c>
      <c r="F11" s="7" t="n">
        <v>1</v>
      </c>
      <c r="G11" s="7" t="n">
        <v>1</v>
      </c>
      <c r="H11" s="7" t="n">
        <v>1</v>
      </c>
      <c r="I11" s="7" t="n">
        <v>2</v>
      </c>
      <c r="J11" s="8" t="n">
        <f aca="false">GEOMEAN(B11:I11)</f>
        <v>0.840896415253715</v>
      </c>
      <c r="K11" s="8" t="n">
        <f aca="false">J11/$J$14</f>
        <v>0.0959469205976945</v>
      </c>
      <c r="L11" s="8" t="n">
        <f aca="false">B11*$K$6+C11*$K$7+D11*$K$8+E11*$K$9+F11*$K$10+G11*$K$11+H11*$K$12+I11*$K$13</f>
        <v>0.775016274348702</v>
      </c>
      <c r="M11" s="8" t="n">
        <f aca="false">L11/K11</f>
        <v>8.07755235416409</v>
      </c>
      <c r="N11" s="9" t="n">
        <v>0.1</v>
      </c>
      <c r="O11" s="8" t="n">
        <f aca="false">ABS(K11-N11)</f>
        <v>0.00405307940230552</v>
      </c>
    </row>
    <row r="12" customFormat="false" ht="15" hidden="false" customHeight="false" outlineLevel="0" collapsed="false">
      <c r="A12" s="6" t="s">
        <v>10</v>
      </c>
      <c r="B12" s="7" t="n">
        <v>0.333333333333333</v>
      </c>
      <c r="C12" s="7" t="n">
        <v>0.5</v>
      </c>
      <c r="D12" s="7" t="n">
        <v>0.5</v>
      </c>
      <c r="E12" s="7" t="n">
        <v>0.5</v>
      </c>
      <c r="F12" s="7" t="n">
        <v>0.5</v>
      </c>
      <c r="G12" s="7" t="n">
        <v>1</v>
      </c>
      <c r="H12" s="7" t="n">
        <v>1</v>
      </c>
      <c r="I12" s="7" t="n">
        <v>2</v>
      </c>
      <c r="J12" s="8" t="n">
        <f aca="false">GEOMEAN(B12:I12)</f>
        <v>0.672161440284194</v>
      </c>
      <c r="K12" s="8" t="n">
        <f aca="false">J12/$J$14</f>
        <v>0.076694131607543</v>
      </c>
      <c r="L12" s="8" t="n">
        <f aca="false">B12*$K$6+C12*$K$7+D12*$K$8+E12*$K$9+F12*$K$10+G12*$K$11+H12*$K$12+I12*$K$13</f>
        <v>0.627270462526441</v>
      </c>
      <c r="M12" s="8" t="n">
        <f aca="false">L12/K12</f>
        <v>8.17885866074202</v>
      </c>
      <c r="N12" s="9" t="n">
        <v>0.08</v>
      </c>
      <c r="O12" s="8" t="n">
        <f aca="false">ABS(K12-N12)</f>
        <v>0.00330586839245703</v>
      </c>
    </row>
    <row r="13" customFormat="false" ht="15" hidden="false" customHeight="false" outlineLevel="0" collapsed="false">
      <c r="A13" s="6" t="s">
        <v>11</v>
      </c>
      <c r="B13" s="7" t="n">
        <v>0.25</v>
      </c>
      <c r="C13" s="7" t="n">
        <v>0.25</v>
      </c>
      <c r="D13" s="7" t="n">
        <v>0.333333333333333</v>
      </c>
      <c r="E13" s="7" t="n">
        <v>0.5</v>
      </c>
      <c r="F13" s="7" t="n">
        <v>0.5</v>
      </c>
      <c r="G13" s="7" t="n">
        <v>0.5</v>
      </c>
      <c r="H13" s="7" t="n">
        <v>0.5</v>
      </c>
      <c r="I13" s="7" t="n">
        <v>1</v>
      </c>
      <c r="J13" s="8" t="n">
        <f aca="false">GEOMEAN(B13:I13)</f>
        <v>0.435842771435868</v>
      </c>
      <c r="K13" s="8" t="n">
        <f aca="false">J13/$J$14</f>
        <v>0.049729991739136</v>
      </c>
      <c r="L13" s="8" t="n">
        <f aca="false">B13*$K$6+C13*$K$7+D13*$K$8+E13*$K$9+F13*$K$10+G13*$K$11+H13*$K$12+I13*$K$13</f>
        <v>0.400480077714033</v>
      </c>
      <c r="M13" s="8" t="n">
        <f aca="false">L13/K13</f>
        <v>8.05308956845991</v>
      </c>
      <c r="N13" s="9" t="n">
        <v>0.05</v>
      </c>
      <c r="O13" s="8" t="n">
        <f aca="false">ABS(K13-N13)</f>
        <v>0.000270008260864006</v>
      </c>
    </row>
    <row r="14" customFormat="false" ht="15" hidden="false" customHeight="false" outlineLevel="0" collapsed="false">
      <c r="A14" s="10" t="s">
        <v>18</v>
      </c>
      <c r="J14" s="11" t="n">
        <f aca="false">SUM(J6:J13)</f>
        <v>8.76418346743607</v>
      </c>
      <c r="K14" s="11" t="n">
        <f aca="false">SUM(K6:K13)</f>
        <v>1</v>
      </c>
      <c r="N14" s="12" t="n">
        <f aca="false">SUM(N6:N13)</f>
        <v>1</v>
      </c>
      <c r="O14" s="11" t="n">
        <f aca="false">MAX(O6:O13)</f>
        <v>0.011893841195389</v>
      </c>
    </row>
    <row r="15" customFormat="false" ht="15" hidden="false" customHeight="false" outlineLevel="0" collapsed="false">
      <c r="O15" s="3" t="s">
        <v>19</v>
      </c>
    </row>
    <row r="17" customFormat="false" ht="15" hidden="false" customHeight="false" outlineLevel="0" collapsed="false">
      <c r="A17" s="10" t="s">
        <v>20</v>
      </c>
    </row>
    <row r="18" customFormat="false" ht="15" hidden="false" customHeight="false" outlineLevel="0" collapsed="false">
      <c r="A18" s="10" t="s">
        <v>21</v>
      </c>
      <c r="B18" s="8" t="n">
        <f aca="false">AVERAGE(M6:M13)</f>
        <v>8.11385198953518</v>
      </c>
    </row>
    <row r="19" customFormat="false" ht="15" hidden="false" customHeight="false" outlineLevel="0" collapsed="false">
      <c r="A19" s="10" t="s">
        <v>22</v>
      </c>
      <c r="B19" s="13" t="n">
        <v>8</v>
      </c>
    </row>
    <row r="20" customFormat="false" ht="15" hidden="false" customHeight="false" outlineLevel="0" collapsed="false">
      <c r="A20" s="10" t="s">
        <v>23</v>
      </c>
      <c r="B20" s="8" t="n">
        <f aca="false">(B18-B19)/(B19-1)</f>
        <v>0.0162645699335966</v>
      </c>
    </row>
    <row r="21" customFormat="false" ht="15" hidden="false" customHeight="false" outlineLevel="0" collapsed="false">
      <c r="A21" s="10" t="s">
        <v>24</v>
      </c>
      <c r="B21" s="9" t="n">
        <v>1.41</v>
      </c>
    </row>
    <row r="22" customFormat="false" ht="15" hidden="false" customHeight="false" outlineLevel="0" collapsed="false">
      <c r="A22" s="10" t="s">
        <v>25</v>
      </c>
      <c r="B22" s="14" t="n">
        <f aca="false">B20/B21</f>
        <v>0.0115351559812742</v>
      </c>
    </row>
    <row r="23" customFormat="false" ht="15" hidden="false" customHeight="false" outlineLevel="0" collapsed="false">
      <c r="A23" s="10" t="s">
        <v>26</v>
      </c>
      <c r="B23" s="9" t="n">
        <v>0.1</v>
      </c>
    </row>
    <row r="24" customFormat="false" ht="15" hidden="false" customHeight="false" outlineLevel="0" collapsed="false">
      <c r="A24" s="10" t="s">
        <v>27</v>
      </c>
      <c r="B24" s="15" t="str">
        <f aca="false">IF(B22&lt;B23,"ACCEPTED - CR is below 0.10, the judgements are consistent","REJECTED - revise the matrix")</f>
        <v>ACCEPTED - CR is below 0.10, the judgements are consistent</v>
      </c>
    </row>
    <row r="26" customFormat="false" ht="15" hidden="false" customHeight="false" outlineLevel="0" collapsed="false">
      <c r="A26" s="10" t="s">
        <v>28</v>
      </c>
    </row>
    <row r="27" customFormat="false" ht="15" hidden="false" customHeight="false" outlineLevel="0" collapsed="false">
      <c r="A27" s="3" t="s">
        <v>29</v>
      </c>
    </row>
    <row r="28" customFormat="false" ht="15" hidden="false" customHeight="false" outlineLevel="0" collapsed="false">
      <c r="A28" s="3" t="s">
        <v>30</v>
      </c>
    </row>
    <row r="29" customFormat="false" ht="15" hidden="false" customHeight="false" outlineLevel="0" collapsed="false">
      <c r="A29" s="3" t="s">
        <v>31</v>
      </c>
    </row>
    <row r="30" customFormat="false" ht="15" hidden="false" customHeight="false" outlineLevel="0" collapsed="false">
      <c r="A30" s="3" t="s">
        <v>32</v>
      </c>
    </row>
    <row r="31" customFormat="false" ht="15" hidden="false" customHeight="false" outlineLevel="0" collapsed="false">
      <c r="A31" s="3" t="s">
        <v>33</v>
      </c>
    </row>
    <row r="32" customFormat="false" ht="15" hidden="false" customHeight="false" outlineLevel="0" collapsed="false">
      <c r="A32" s="3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2026-09-10T14:48:34Z</dcterms:created>
  <dc:creator>openpyxl</dc:creator>
  <dc:description/>
  <dc:language>en-US</dc:language>
  <cp:lastModifiedBy/>
  <dcterms:modified xsi:type="dcterms:W3CDTF">2026-09-10T17:04:54Z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